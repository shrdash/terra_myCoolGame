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rface_Sector_Grid" sheetId="1" r:id="rIdSheet1"/>
    <sheet name="Atmosphere_Telemetry" sheetId="2" r:id="rIdSheet2"/>
    <sheet name="Facilities_Database" sheetId="3" r:id="rIdSheet3"/>
    <sheet name="Incident_Telemetry" sheetId="4" r:id="rIdSheet4"/>
    <sheet name="DevLog_and_Manual" sheetId="5" r:id="rIdSheet5"/>
  </sheets>
</workbook>
</file>

<file path=xl/styles.xml><?xml version="1.0" encoding="utf-8"?>
<styleSheet xmlns="http://schemas.openxmlformats.org/spreadsheetml/2006/main">
  <fonts count="4">
    <font>
      <name val="Calibri"/>
      <sz val="11"/>
    </font>
    <font>
      <b/>
      <color rgb="FFFFFFFF"/>
      <name val="Calibri"/>
      <sz val="11"/>
    </font>
    <font>
      <b/>
      <color rgb="FF0F9D58"/>
      <name val="Calibri"/>
      <sz val="14"/>
    </font>
    <font>
      <b/>
      <color rgb="FF1F2937"/>
      <name val="Calibri"/>
      <sz val="12"/>
    </font>
  </fonts>
  <fills count="9">
    <fill>
      <patternFill patternType="none"/>
    </fill>
    <fill>
      <patternFill patternType="gray125"/>
    </fill>
    <fill>
      <patternFill patternType="solid">
        <fgColor rgb="FF0F9D58"/>
      </patternFill>
    </fill>
    <!-- 2: Green Header -->
    <fill>
      <patternFill patternType="solid">
        <fgColor rgb="FF1F2937"/>
      </patternFill>
    </fill>
    <!-- 3: Dark Header -->
    <fill>
      <patternFill patternType="solid">
        <fgColor rgb="FFF3F4F6"/>
      </patternFill>
    </fill>
    <!-- 4: Light Gray Row -->
    <fill>
      <patternFill patternType="solid">
        <fgColor rgb="FFD97706"/>
      </patternFill>
    </fill>
    <!-- 5: Amber Soil -->
    <fill>
      <patternFill patternType="solid">
        <fgColor rgb="FF2563EB"/>
      </patternFill>
    </fill>
    <!-- 6: Blue Ocean -->
    <fill>
      <patternFill patternType="solid">
        <fgColor rgb="FF059669"/>
      </patternFill>
    </fill>
    <!-- 7: Green Biome -->
    <fill>
      <patternFill patternType="solid">
        <fgColor rgb="FFE0F2FE"/>
      </patternFill>
    </fill>
    <!-- 8: Ice Glacier --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8">
    <xf numFmtId="0" fontId="0" fillId="0" borderId="0" xfId="0"/>
    <!-- 0: default -->
    <xf numFmtId="0" fontId="1" fillId="2" borderId="1" xfId="0" applyFont="1" applyFill="1" applyBorder="1" applyAlignment="1">
      <alignment horizontal="center" vertical="center"/>
    </xf>
    <!-- 1: Green Header -->
    <xf numFmtId="0" fontId="1" fillId="3" borderId="1" xfId="0" applyFont="1" applyFill="1" applyBorder="1" applyAlignment="1">
      <alignment horizontal="center" vertical="center"/>
    </xf>
    <!-- 2: Dark Header -->
    <xf numFmtId="0" fontId="0" fillId="4" borderId="1" xfId="0" applyFill="1" applyBorder="1"/>
    <!-- 3: Light Gray Bordered -->
    <xf numFmtId="0" fontId="0" fillId="0" borderId="1" xfId="0" applyBorder="1"/>
    <!-- 4: Plain Bordered -->
    <xf numFmtId="0" fontId="2" fillId="0" borderId="0" xfId="0" applyFont="1"/>
    <!-- 5: Large Title -->
    <xf numFmtId="0" fontId="3" fillId="0" borderId="1" xfId="0" applyFont="1" applyBorder="1"/>
    <!-- 6: Bold Bordered -->
    <xf numFmtId="0" fontId="1" fillId="5" borderId="1" xfId="0" applyFont="1" applyFill="1" applyBorder="1" applyAlignment="1">
      <alignment horizontal="center" vertical="center"/>
    </xf>
    <!-- 7: Amber Cell -->
  </cellXfs>
</styleSheet>
</file>

<file path=xl/_rels/workbook.xml.rels><?xml version="1.0" encoding="UTF-8" standalone="yes"?>
<Relationships xmlns="http://schemas.openxmlformats.org/package/2006/relationships">
    <Relationship Id="rIdStyles" Type="http://schemas.openxmlformats.org/officeDocument/2006/relationships/styles" Target="styles.xml"/>
    <Relationship Id="rIdSheet1" Type="http://schemas.openxmlformats.org/officeDocument/2006/relationships/worksheet" Target="worksheets/sheet1.xml"/>
    <Relationship Id="rIdSheet2" Type="http://schemas.openxmlformats.org/officeDocument/2006/relationships/worksheet" Target="worksheets/sheet2.xml"/>
    <Relationship Id="rIdSheet3" Type="http://schemas.openxmlformats.org/officeDocument/2006/relationships/worksheet" Target="worksheets/sheet3.xml"/>
    <Relationship Id="rIdSheet4" Type="http://schemas.openxmlformats.org/officeDocument/2006/relationships/worksheet" Target="worksheets/sheet4.xml"/>
    <Relationship Id="rIdSheet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2"/>
    <col min="2" max="17" width="8"/>
    <col min="18" max="24" width="20"/>
  </cols>
  <sheetData>
    <row r="1" ht="28">
      <c r="A1" t="inlineStr" s="5">
        <is>
          <t>TERRA // OUTPOST 84 — PLANETARY SECTOR RADAR</t>
        </is>
      </c>
    </row>
    <row r="2">
      <c r="A2" t="inlineStr" s="0">
        <is>
          <t>CURRENT SOL:</t>
        </is>
      </c>
      <c r="B2" s="6">
        <v>1</v>
      </c>
      <c r="D2" t="inlineStr" s="0">
        <is>
          <t>TURN STATUS:</t>
        </is>
      </c>
      <c r="E2" t="inlineStr" s="1">
        <is>
          <t>ONLINE</t>
        </is>
      </c>
      <c r="G2" t="inlineStr" s="0">
        <is>
          <t>MISSION:</t>
        </is>
      </c>
      <c r="H2" t="inlineStr" s="0">
        <is>
          <t>REACH 21% O2, 15°C, 1013 hPa</t>
        </is>
      </c>
    </row>
    <row r="3"/>
    <row r="4">
      <c r="A4" t="inlineStr" s="2">
        <is>
          <t>SECTOR</t>
        </is>
      </c>
      <c r="B4" t="inlineStr" s="2">
        <is>
          <t>X01</t>
        </is>
      </c>
      <c r="C4" t="inlineStr" s="2">
        <is>
          <t>X02</t>
        </is>
      </c>
      <c r="D4" t="inlineStr" s="2">
        <is>
          <t>X03</t>
        </is>
      </c>
      <c r="E4" t="inlineStr" s="2">
        <is>
          <t>X04</t>
        </is>
      </c>
      <c r="F4" t="inlineStr" s="2">
        <is>
          <t>X05</t>
        </is>
      </c>
      <c r="G4" t="inlineStr" s="2">
        <is>
          <t>X06</t>
        </is>
      </c>
      <c r="H4" t="inlineStr" s="2">
        <is>
          <t>X07</t>
        </is>
      </c>
      <c r="I4" t="inlineStr" s="2">
        <is>
          <t>X08</t>
        </is>
      </c>
      <c r="J4" t="inlineStr" s="2">
        <is>
          <t>X09</t>
        </is>
      </c>
      <c r="K4" t="inlineStr" s="2">
        <is>
          <t>X10</t>
        </is>
      </c>
      <c r="L4" t="inlineStr" s="2">
        <is>
          <t>X11</t>
        </is>
      </c>
      <c r="M4" t="inlineStr" s="2">
        <is>
          <t>X12</t>
        </is>
      </c>
      <c r="N4" t="inlineStr" s="2">
        <is>
          <t>X13</t>
        </is>
      </c>
      <c r="O4" t="inlineStr" s="2">
        <is>
          <t>X14</t>
        </is>
      </c>
      <c r="P4" t="inlineStr" s="2">
        <is>
          <t>X15</t>
        </is>
      </c>
      <c r="Q4" t="inlineStr" s="2">
        <is>
          <t>X16</t>
        </is>
      </c>
    </row>
    <row r="5">
      <c r="A5" t="inlineStr" s="2">
        <is>
          <t>Y01</t>
        </is>
      </c>
      <c r="B5" t="inlineStr" s="8">
        <is>
          <t>❄❄</t>
        </is>
      </c>
      <c r="C5" t="inlineStr" s="8">
        <is>
          <t>❄❄</t>
        </is>
      </c>
      <c r="D5" t="inlineStr" s="8">
        <is>
          <t>❄❄</t>
        </is>
      </c>
      <c r="E5" t="inlineStr" s="4">
        <is>
          <t>..</t>
        </is>
      </c>
      <c r="F5" t="inlineStr" s="4">
        <is>
          <t>..</t>
        </is>
      </c>
      <c r="G5" t="inlineStr" s="4">
        <is>
          <t>^^</t>
        </is>
      </c>
      <c r="H5" t="inlineStr" s="4">
        <is>
          <t>^^</t>
        </is>
      </c>
      <c r="I5" t="inlineStr" s="4">
        <is>
          <t>..</t>
        </is>
      </c>
      <c r="J5" t="inlineStr" s="4">
        <is>
          <t>..</t>
        </is>
      </c>
      <c r="K5" t="inlineStr" s="4">
        <is>
          <t>..</t>
        </is>
      </c>
      <c r="L5" t="inlineStr" s="4">
        <is>
          <t>..</t>
        </is>
      </c>
      <c r="M5" t="inlineStr" s="4">
        <is>
          <t>..</t>
        </is>
      </c>
      <c r="N5" t="inlineStr" s="4">
        <is>
          <t>^^</t>
        </is>
      </c>
      <c r="O5" t="inlineStr" s="8">
        <is>
          <t>❄❄</t>
        </is>
      </c>
      <c r="P5" t="inlineStr" s="8">
        <is>
          <t>❄❄</t>
        </is>
      </c>
      <c r="Q5" t="inlineStr" s="8">
        <is>
          <t>❄❄</t>
        </is>
      </c>
    </row>
    <row r="6">
      <c r="A6" t="inlineStr" s="2">
        <is>
          <t>Y02</t>
        </is>
      </c>
      <c r="B6" t="inlineStr" s="8">
        <is>
          <t>❄❄</t>
        </is>
      </c>
      <c r="C6" t="inlineStr" s="8">
        <is>
          <t>❄❄</t>
        </is>
      </c>
      <c r="D6" t="inlineStr" s="4">
        <is>
          <t>..</t>
        </is>
      </c>
      <c r="E6" t="inlineStr" s="4">
        <is>
          <t>..</t>
        </is>
      </c>
      <c r="F6" t="inlineStr" s="4">
        <is>
          <t>..</t>
        </is>
      </c>
      <c r="G6" t="inlineStr" s="4">
        <is>
          <t>^^</t>
        </is>
      </c>
      <c r="H6" t="inlineStr" s="4">
        <is>
          <t>..</t>
        </is>
      </c>
      <c r="I6" t="inlineStr" s="4">
        <is>
          <t>..</t>
        </is>
      </c>
      <c r="J6" t="inlineStr" s="4">
        <is>
          <t>..</t>
        </is>
      </c>
      <c r="K6" t="inlineStr" s="4">
        <is>
          <t>..</t>
        </is>
      </c>
      <c r="L6" t="inlineStr" s="4">
        <is>
          <t>..</t>
        </is>
      </c>
      <c r="M6" t="inlineStr" s="4">
        <is>
          <t>..</t>
        </is>
      </c>
      <c r="N6" t="inlineStr" s="4">
        <is>
          <t>..</t>
        </is>
      </c>
      <c r="O6" t="inlineStr" s="4">
        <is>
          <t>..</t>
        </is>
      </c>
      <c r="P6" t="inlineStr" s="8">
        <is>
          <t>❄❄</t>
        </is>
      </c>
      <c r="Q6" t="inlineStr" s="8">
        <is>
          <t>❄❄</t>
        </is>
      </c>
    </row>
    <row r="7">
      <c r="A7" t="inlineStr" s="2">
        <is>
          <t>Y03</t>
        </is>
      </c>
      <c r="B7" t="inlineStr" s="8">
        <is>
          <t>❄❄</t>
        </is>
      </c>
      <c r="C7" t="inlineStr" s="4">
        <is>
          <t>..</t>
        </is>
      </c>
      <c r="D7" t="inlineStr" s="4">
        <is>
          <t>..</t>
        </is>
      </c>
      <c r="E7" t="inlineStr" s="4">
        <is>
          <t>~~</t>
        </is>
      </c>
      <c r="F7" t="inlineStr" s="4">
        <is>
          <t>~~</t>
        </is>
      </c>
      <c r="G7" t="inlineStr" s="4">
        <is>
          <t>..</t>
        </is>
      </c>
      <c r="H7" t="inlineStr" s="4">
        <is>
          <t>..</t>
        </is>
      </c>
      <c r="I7" t="inlineStr" s="4">
        <is>
          <t>..</t>
        </is>
      </c>
      <c r="J7" t="inlineStr" s="4">
        <is>
          <t>**</t>
        </is>
      </c>
      <c r="K7" t="inlineStr" s="4">
        <is>
          <t>..</t>
        </is>
      </c>
      <c r="L7" t="inlineStr" s="4">
        <is>
          <t>..</t>
        </is>
      </c>
      <c r="M7" t="inlineStr" s="4">
        <is>
          <t>..</t>
        </is>
      </c>
      <c r="N7" t="inlineStr" s="4">
        <is>
          <t>..</t>
        </is>
      </c>
      <c r="O7" t="inlineStr" s="4">
        <is>
          <t>..</t>
        </is>
      </c>
      <c r="P7" t="inlineStr" s="4">
        <is>
          <t>..</t>
        </is>
      </c>
      <c r="Q7" t="inlineStr" s="8">
        <is>
          <t>❄❄</t>
        </is>
      </c>
    </row>
    <row r="8">
      <c r="A8" t="inlineStr" s="2">
        <is>
          <t>Y04</t>
        </is>
      </c>
      <c r="B8" t="inlineStr" s="4">
        <is>
          <t>..</t>
        </is>
      </c>
      <c r="C8" t="inlineStr" s="4">
        <is>
          <t>..</t>
        </is>
      </c>
      <c r="D8" t="inlineStr" s="4">
        <is>
          <t>~~</t>
        </is>
      </c>
      <c r="E8" t="inlineStr" s="4">
        <is>
          <t>~~</t>
        </is>
      </c>
      <c r="F8" t="inlineStr" s="4">
        <is>
          <t>~~</t>
        </is>
      </c>
      <c r="G8" t="inlineStr" s="4">
        <is>
          <t>~~</t>
        </is>
      </c>
      <c r="H8" t="inlineStr" s="4">
        <is>
          <t>..</t>
        </is>
      </c>
      <c r="I8" t="inlineStr" s="4">
        <is>
          <t>..</t>
        </is>
      </c>
      <c r="J8" t="inlineStr" s="4">
        <is>
          <t>..</t>
        </is>
      </c>
      <c r="K8" t="inlineStr" s="4">
        <is>
          <t>..</t>
        </is>
      </c>
      <c r="L8" t="inlineStr" s="4">
        <is>
          <t>..</t>
        </is>
      </c>
      <c r="M8" t="inlineStr" s="4">
        <is>
          <t>..</t>
        </is>
      </c>
      <c r="N8" t="inlineStr" s="4">
        <is>
          <t>^^</t>
        </is>
      </c>
      <c r="O8" t="inlineStr" s="4">
        <is>
          <t>^^</t>
        </is>
      </c>
      <c r="P8" t="inlineStr" s="4">
        <is>
          <t>..</t>
        </is>
      </c>
      <c r="Q8" t="inlineStr" s="4">
        <is>
          <t>..</t>
        </is>
      </c>
    </row>
    <row r="9">
      <c r="A9" t="inlineStr" s="2">
        <is>
          <t>Y05</t>
        </is>
      </c>
      <c r="B9" t="inlineStr" s="4">
        <is>
          <t>..</t>
        </is>
      </c>
      <c r="C9" t="inlineStr" s="4">
        <is>
          <t>..</t>
        </is>
      </c>
      <c r="D9" t="inlineStr" s="4">
        <is>
          <t>~~</t>
        </is>
      </c>
      <c r="E9" t="inlineStr" s="4">
        <is>
          <t>~~</t>
        </is>
      </c>
      <c r="F9" t="inlineStr" s="4">
        <is>
          <t>~~</t>
        </is>
      </c>
      <c r="G9" t="inlineStr" s="4">
        <is>
          <t>..</t>
        </is>
      </c>
      <c r="H9" t="inlineStr" s="4">
        <is>
          <t>..</t>
        </is>
      </c>
      <c r="I9" t="inlineStr" s="4">
        <is>
          <t>..</t>
        </is>
      </c>
      <c r="J9" t="inlineStr" s="4">
        <is>
          <t>..</t>
        </is>
      </c>
      <c r="K9" t="inlineStr" s="4">
        <is>
          <t>..</t>
        </is>
      </c>
      <c r="L9" t="inlineStr" s="4">
        <is>
          <t>..</t>
        </is>
      </c>
      <c r="M9" t="inlineStr" s="4">
        <is>
          <t>..</t>
        </is>
      </c>
      <c r="N9" t="inlineStr" s="4">
        <is>
          <t>^^</t>
        </is>
      </c>
      <c r="O9" t="inlineStr" s="4">
        <is>
          <t>..</t>
        </is>
      </c>
      <c r="P9" t="inlineStr" s="4">
        <is>
          <t>..</t>
        </is>
      </c>
      <c r="Q9" t="inlineStr" s="4">
        <is>
          <t>..</t>
        </is>
      </c>
    </row>
    <row r="10">
      <c r="A10" t="inlineStr" s="2">
        <is>
          <t>Y06</t>
        </is>
      </c>
      <c r="B10" t="inlineStr" s="4">
        <is>
          <t>..</t>
        </is>
      </c>
      <c r="C10" t="inlineStr" s="4">
        <is>
          <t>^^</t>
        </is>
      </c>
      <c r="D10" t="inlineStr" s="4">
        <is>
          <t>..</t>
        </is>
      </c>
      <c r="E10" t="inlineStr" s="4">
        <is>
          <t>~~</t>
        </is>
      </c>
      <c r="F10" t="inlineStr" s="4">
        <is>
          <t>..</t>
        </is>
      </c>
      <c r="G10" t="inlineStr" s="4">
        <is>
          <t>..</t>
        </is>
      </c>
      <c r="H10" t="inlineStr" s="4">
        <is>
          <t>..</t>
        </is>
      </c>
      <c r="I10" t="inlineStr" s="7">
        <is>
          <t>[SP]</t>
        </is>
      </c>
      <c r="J10" t="inlineStr" s="4">
        <is>
          <t>..</t>
        </is>
      </c>
      <c r="K10" t="inlineStr" s="4">
        <is>
          <t>..</t>
        </is>
      </c>
      <c r="L10" t="inlineStr" s="4">
        <is>
          <t>..</t>
        </is>
      </c>
      <c r="M10" t="inlineStr" s="4">
        <is>
          <t>..</t>
        </is>
      </c>
      <c r="N10" t="inlineStr" s="4">
        <is>
          <t>..</t>
        </is>
      </c>
      <c r="O10" t="inlineStr" s="4">
        <is>
          <t>..</t>
        </is>
      </c>
      <c r="P10" t="inlineStr" s="4">
        <is>
          <t>..</t>
        </is>
      </c>
      <c r="Q10" t="inlineStr" s="4">
        <is>
          <t>..</t>
        </is>
      </c>
    </row>
    <row r="11">
      <c r="A11" t="inlineStr" s="2">
        <is>
          <t>Y07</t>
        </is>
      </c>
      <c r="B11" t="inlineStr" s="4">
        <is>
          <t>..</t>
        </is>
      </c>
      <c r="C11" t="inlineStr" s="4">
        <is>
          <t>^^</t>
        </is>
      </c>
      <c r="D11" t="inlineStr" s="4">
        <is>
          <t>..</t>
        </is>
      </c>
      <c r="E11" t="inlineStr" s="4">
        <is>
          <t>..</t>
        </is>
      </c>
      <c r="F11" t="inlineStr" s="4">
        <is>
          <t>..</t>
        </is>
      </c>
      <c r="G11" t="inlineStr" s="4">
        <is>
          <t>..</t>
        </is>
      </c>
      <c r="H11" t="inlineStr" s="7">
        <is>
          <t>[HB]</t>
        </is>
      </c>
      <c r="I11" t="inlineStr" s="7">
        <is>
          <t>[HB]</t>
        </is>
      </c>
      <c r="J11" t="inlineStr" s="4">
        <is>
          <t>..</t>
        </is>
      </c>
      <c r="K11" t="inlineStr" s="4">
        <is>
          <t>..</t>
        </is>
      </c>
      <c r="L11" t="inlineStr" s="4">
        <is>
          <t>..</t>
        </is>
      </c>
      <c r="M11" t="inlineStr" s="4">
        <is>
          <t>..</t>
        </is>
      </c>
      <c r="N11" t="inlineStr" s="4">
        <is>
          <t>..</t>
        </is>
      </c>
      <c r="O11" t="inlineStr" s="4">
        <is>
          <t>**</t>
        </is>
      </c>
      <c r="P11" t="inlineStr" s="4">
        <is>
          <t>..</t>
        </is>
      </c>
      <c r="Q11" t="inlineStr" s="4">
        <is>
          <t>..</t>
        </is>
      </c>
    </row>
    <row r="12">
      <c r="A12" t="inlineStr" s="2">
        <is>
          <t>Y08</t>
        </is>
      </c>
      <c r="B12" t="inlineStr" s="4">
        <is>
          <t>..</t>
        </is>
      </c>
      <c r="C12" t="inlineStr" s="4">
        <is>
          <t>..</t>
        </is>
      </c>
      <c r="D12" t="inlineStr" s="4">
        <is>
          <t>..</t>
        </is>
      </c>
      <c r="E12" t="inlineStr" s="4">
        <is>
          <t>..</t>
        </is>
      </c>
      <c r="F12" t="inlineStr" s="4">
        <is>
          <t>..</t>
        </is>
      </c>
      <c r="G12" t="inlineStr" s="4">
        <is>
          <t>..</t>
        </is>
      </c>
      <c r="H12" t="inlineStr" s="7">
        <is>
          <t>[HB]</t>
        </is>
      </c>
      <c r="I12" t="inlineStr" s="7">
        <is>
          <t>[AG]</t>
        </is>
      </c>
      <c r="J12" t="inlineStr" s="4">
        <is>
          <t>..</t>
        </is>
      </c>
      <c r="K12" t="inlineStr" s="4">
        <is>
          <t>..</t>
        </is>
      </c>
      <c r="L12" t="inlineStr" s="4">
        <is>
          <t>..</t>
        </is>
      </c>
      <c r="M12" t="inlineStr" s="4">
        <is>
          <t>..</t>
        </is>
      </c>
      <c r="N12" t="inlineStr" s="4">
        <is>
          <t>..</t>
        </is>
      </c>
      <c r="O12" t="inlineStr" s="4">
        <is>
          <t>..</t>
        </is>
      </c>
      <c r="P12" t="inlineStr" s="4">
        <is>
          <t>..</t>
        </is>
      </c>
      <c r="Q12" t="inlineStr" s="4">
        <is>
          <t>..</t>
        </is>
      </c>
    </row>
    <row r="13">
      <c r="A13" t="inlineStr" s="2">
        <is>
          <t>Y09</t>
        </is>
      </c>
      <c r="B13" t="inlineStr" s="4">
        <is>
          <t>..</t>
        </is>
      </c>
      <c r="C13" t="inlineStr" s="4">
        <is>
          <t>..</t>
        </is>
      </c>
      <c r="D13" t="inlineStr" s="4">
        <is>
          <t>..</t>
        </is>
      </c>
      <c r="E13" t="inlineStr" s="4">
        <is>
          <t>..</t>
        </is>
      </c>
      <c r="F13" t="inlineStr" s="4">
        <is>
          <t>..</t>
        </is>
      </c>
      <c r="G13" t="inlineStr" s="4">
        <is>
          <t>..</t>
        </is>
      </c>
      <c r="H13" t="inlineStr" s="7">
        <is>
          <t>[AG]</t>
        </is>
      </c>
      <c r="I13" t="inlineStr" s="7">
        <is>
          <t>[AG]</t>
        </is>
      </c>
      <c r="J13" t="inlineStr" s="4">
        <is>
          <t>..</t>
        </is>
      </c>
      <c r="K13" t="inlineStr" s="4">
        <is>
          <t>..</t>
        </is>
      </c>
      <c r="L13" t="inlineStr" s="4">
        <is>
          <t>..</t>
        </is>
      </c>
      <c r="M13" t="inlineStr" s="4">
        <is>
          <t>..</t>
        </is>
      </c>
      <c r="N13" t="inlineStr" s="4">
        <is>
          <t>..</t>
        </is>
      </c>
      <c r="O13" t="inlineStr" s="4">
        <is>
          <t>..</t>
        </is>
      </c>
      <c r="P13" t="inlineStr" s="4">
        <is>
          <t>..</t>
        </is>
      </c>
      <c r="Q13" t="inlineStr" s="4">
        <is>
          <t>..</t>
        </is>
      </c>
    </row>
    <row r="14">
      <c r="A14" t="inlineStr" s="2">
        <is>
          <t>Y10</t>
        </is>
      </c>
      <c r="B14" t="inlineStr" s="4">
        <is>
          <t>..</t>
        </is>
      </c>
      <c r="C14" t="inlineStr" s="4">
        <is>
          <t>..</t>
        </is>
      </c>
      <c r="D14" t="inlineStr" s="4">
        <is>
          <t>..</t>
        </is>
      </c>
      <c r="E14" t="inlineStr" s="4">
        <is>
          <t>..</t>
        </is>
      </c>
      <c r="F14" t="inlineStr" s="4">
        <is>
          <t>..</t>
        </is>
      </c>
      <c r="G14" t="inlineStr" s="4">
        <is>
          <t>..</t>
        </is>
      </c>
      <c r="H14" t="inlineStr" s="4">
        <is>
          <t>..</t>
        </is>
      </c>
      <c r="I14" t="inlineStr" s="4">
        <is>
          <t>..</t>
        </is>
      </c>
      <c r="J14" t="inlineStr" s="4">
        <is>
          <t>..</t>
        </is>
      </c>
      <c r="K14" t="inlineStr" s="4">
        <is>
          <t>..</t>
        </is>
      </c>
      <c r="L14" t="inlineStr" s="4">
        <is>
          <t>~~</t>
        </is>
      </c>
      <c r="M14" t="inlineStr" s="4">
        <is>
          <t>~~</t>
        </is>
      </c>
      <c r="N14" t="inlineStr" s="4">
        <is>
          <t>..</t>
        </is>
      </c>
      <c r="O14" t="inlineStr" s="4">
        <is>
          <t>..</t>
        </is>
      </c>
      <c r="P14" t="inlineStr" s="4">
        <is>
          <t>..</t>
        </is>
      </c>
      <c r="Q14" t="inlineStr" s="4">
        <is>
          <t>..</t>
        </is>
      </c>
    </row>
    <row r="15">
      <c r="A15" t="inlineStr" s="2">
        <is>
          <t>Y11</t>
        </is>
      </c>
      <c r="B15" t="inlineStr" s="4">
        <is>
          <t>..</t>
        </is>
      </c>
      <c r="C15" t="inlineStr" s="4">
        <is>
          <t>..</t>
        </is>
      </c>
      <c r="D15" t="inlineStr" s="4">
        <is>
          <t>..</t>
        </is>
      </c>
      <c r="E15" t="inlineStr" s="4">
        <is>
          <t>**</t>
        </is>
      </c>
      <c r="F15" t="inlineStr" s="4">
        <is>
          <t>..</t>
        </is>
      </c>
      <c r="G15" t="inlineStr" s="4">
        <is>
          <t>..</t>
        </is>
      </c>
      <c r="H15" t="inlineStr" s="4">
        <is>
          <t>..</t>
        </is>
      </c>
      <c r="I15" t="inlineStr" s="4">
        <is>
          <t>..</t>
        </is>
      </c>
      <c r="J15" t="inlineStr" s="4">
        <is>
          <t>..</t>
        </is>
      </c>
      <c r="K15" t="inlineStr" s="4">
        <is>
          <t>~~</t>
        </is>
      </c>
      <c r="L15" t="inlineStr" s="4">
        <is>
          <t>~~</t>
        </is>
      </c>
      <c r="M15" t="inlineStr" s="4">
        <is>
          <t>~~</t>
        </is>
      </c>
      <c r="N15" t="inlineStr" s="4">
        <is>
          <t>~~</t>
        </is>
      </c>
      <c r="O15" t="inlineStr" s="4">
        <is>
          <t>..</t>
        </is>
      </c>
      <c r="P15" t="inlineStr" s="4">
        <is>
          <t>..</t>
        </is>
      </c>
      <c r="Q15" t="inlineStr" s="4">
        <is>
          <t>..</t>
        </is>
      </c>
    </row>
    <row r="16">
      <c r="A16" t="inlineStr" s="2">
        <is>
          <t>Y12</t>
        </is>
      </c>
      <c r="B16" t="inlineStr" s="4">
        <is>
          <t>..</t>
        </is>
      </c>
      <c r="C16" t="inlineStr" s="4">
        <is>
          <t>^^</t>
        </is>
      </c>
      <c r="D16" t="inlineStr" s="4">
        <is>
          <t>..</t>
        </is>
      </c>
      <c r="E16" t="inlineStr" s="4">
        <is>
          <t>..</t>
        </is>
      </c>
      <c r="F16" t="inlineStr" s="4">
        <is>
          <t>..</t>
        </is>
      </c>
      <c r="G16" t="inlineStr" s="4">
        <is>
          <t>..</t>
        </is>
      </c>
      <c r="H16" t="inlineStr" s="4">
        <is>
          <t>..</t>
        </is>
      </c>
      <c r="I16" t="inlineStr" s="4">
        <is>
          <t>..</t>
        </is>
      </c>
      <c r="J16" t="inlineStr" s="4">
        <is>
          <t>..</t>
        </is>
      </c>
      <c r="K16" t="inlineStr" s="4">
        <is>
          <t>~~</t>
        </is>
      </c>
      <c r="L16" t="inlineStr" s="4">
        <is>
          <t>~~</t>
        </is>
      </c>
      <c r="M16" t="inlineStr" s="4">
        <is>
          <t>~~</t>
        </is>
      </c>
      <c r="N16" t="inlineStr" s="4">
        <is>
          <t>~~</t>
        </is>
      </c>
      <c r="O16" t="inlineStr" s="4">
        <is>
          <t>..</t>
        </is>
      </c>
      <c r="P16" t="inlineStr" s="4">
        <is>
          <t>..</t>
        </is>
      </c>
      <c r="Q16" t="inlineStr" s="4">
        <is>
          <t>..</t>
        </is>
      </c>
    </row>
    <row r="17">
      <c r="A17" t="inlineStr" s="2">
        <is>
          <t>Y13</t>
        </is>
      </c>
      <c r="B17" t="inlineStr" s="4">
        <is>
          <t>..</t>
        </is>
      </c>
      <c r="C17" t="inlineStr" s="4">
        <is>
          <t>^^</t>
        </is>
      </c>
      <c r="D17" t="inlineStr" s="4">
        <is>
          <t>^^</t>
        </is>
      </c>
      <c r="E17" t="inlineStr" s="4">
        <is>
          <t>..</t>
        </is>
      </c>
      <c r="F17" t="inlineStr" s="4">
        <is>
          <t>..</t>
        </is>
      </c>
      <c r="G17" t="inlineStr" s="4">
        <is>
          <t>..</t>
        </is>
      </c>
      <c r="H17" t="inlineStr" s="4">
        <is>
          <t>..</t>
        </is>
      </c>
      <c r="I17" t="inlineStr" s="4">
        <is>
          <t>..</t>
        </is>
      </c>
      <c r="J17" t="inlineStr" s="4">
        <is>
          <t>..</t>
        </is>
      </c>
      <c r="K17" t="inlineStr" s="4">
        <is>
          <t>..</t>
        </is>
      </c>
      <c r="L17" t="inlineStr" s="4">
        <is>
          <t>~~</t>
        </is>
      </c>
      <c r="M17" t="inlineStr" s="4">
        <is>
          <t>~~</t>
        </is>
      </c>
      <c r="N17" t="inlineStr" s="4">
        <is>
          <t>..</t>
        </is>
      </c>
      <c r="O17" t="inlineStr" s="4">
        <is>
          <t>..</t>
        </is>
      </c>
      <c r="P17" t="inlineStr" s="4">
        <is>
          <t>..</t>
        </is>
      </c>
      <c r="Q17" t="inlineStr" s="4">
        <is>
          <t>..</t>
        </is>
      </c>
    </row>
    <row r="18">
      <c r="A18" t="inlineStr" s="2">
        <is>
          <t>Y14</t>
        </is>
      </c>
      <c r="B18" t="inlineStr" s="8">
        <is>
          <t>❄❄</t>
        </is>
      </c>
      <c r="C18" t="inlineStr" s="4">
        <is>
          <t>..</t>
        </is>
      </c>
      <c r="D18" t="inlineStr" s="4">
        <is>
          <t>..</t>
        </is>
      </c>
      <c r="E18" t="inlineStr" s="4">
        <is>
          <t>..</t>
        </is>
      </c>
      <c r="F18" t="inlineStr" s="4">
        <is>
          <t>..</t>
        </is>
      </c>
      <c r="G18" t="inlineStr" s="4">
        <is>
          <t>..</t>
        </is>
      </c>
      <c r="H18" t="inlineStr" s="4">
        <is>
          <t>..</t>
        </is>
      </c>
      <c r="I18" t="inlineStr" s="4">
        <is>
          <t>..</t>
        </is>
      </c>
      <c r="J18" t="inlineStr" s="4">
        <is>
          <t>**</t>
        </is>
      </c>
      <c r="K18" t="inlineStr" s="4">
        <is>
          <t>..</t>
        </is>
      </c>
      <c r="L18" t="inlineStr" s="4">
        <is>
          <t>..</t>
        </is>
      </c>
      <c r="M18" t="inlineStr" s="4">
        <is>
          <t>..</t>
        </is>
      </c>
      <c r="N18" t="inlineStr" s="4">
        <is>
          <t>..</t>
        </is>
      </c>
      <c r="O18" t="inlineStr" s="4">
        <is>
          <t>..</t>
        </is>
      </c>
      <c r="P18" t="inlineStr" s="4">
        <is>
          <t>..</t>
        </is>
      </c>
      <c r="Q18" t="inlineStr" s="8">
        <is>
          <t>❄❄</t>
        </is>
      </c>
    </row>
    <row r="19">
      <c r="A19" t="inlineStr" s="2">
        <is>
          <t>Y15</t>
        </is>
      </c>
      <c r="B19" t="inlineStr" s="8">
        <is>
          <t>❄❄</t>
        </is>
      </c>
      <c r="C19" t="inlineStr" s="8">
        <is>
          <t>❄❄</t>
        </is>
      </c>
      <c r="D19" t="inlineStr" s="4">
        <is>
          <t>..</t>
        </is>
      </c>
      <c r="E19" t="inlineStr" s="4">
        <is>
          <t>..</t>
        </is>
      </c>
      <c r="F19" t="inlineStr" s="4">
        <is>
          <t>..</t>
        </is>
      </c>
      <c r="G19" t="inlineStr" s="4">
        <is>
          <t>^^</t>
        </is>
      </c>
      <c r="H19" t="inlineStr" s="4">
        <is>
          <t>..</t>
        </is>
      </c>
      <c r="I19" t="inlineStr" s="4">
        <is>
          <t>..</t>
        </is>
      </c>
      <c r="J19" t="inlineStr" s="4">
        <is>
          <t>..</t>
        </is>
      </c>
      <c r="K19" t="inlineStr" s="4">
        <is>
          <t>..</t>
        </is>
      </c>
      <c r="L19" t="inlineStr" s="4">
        <is>
          <t>..</t>
        </is>
      </c>
      <c r="M19" t="inlineStr" s="4">
        <is>
          <t>^^</t>
        </is>
      </c>
      <c r="N19" t="inlineStr" s="4">
        <is>
          <t>..</t>
        </is>
      </c>
      <c r="O19" t="inlineStr" s="4">
        <is>
          <t>..</t>
        </is>
      </c>
      <c r="P19" t="inlineStr" s="8">
        <is>
          <t>❄❄</t>
        </is>
      </c>
      <c r="Q19" t="inlineStr" s="8">
        <is>
          <t>❄❄</t>
        </is>
      </c>
    </row>
    <row r="20">
      <c r="A20" t="inlineStr" s="2">
        <is>
          <t>Y16</t>
        </is>
      </c>
      <c r="B20" t="inlineStr" s="8">
        <is>
          <t>❄❄</t>
        </is>
      </c>
      <c r="C20" t="inlineStr" s="8">
        <is>
          <t>❄❄</t>
        </is>
      </c>
      <c r="D20" t="inlineStr" s="8">
        <is>
          <t>❄❄</t>
        </is>
      </c>
      <c r="E20" t="inlineStr" s="4">
        <is>
          <t>..</t>
        </is>
      </c>
      <c r="F20" t="inlineStr" s="4">
        <is>
          <t>..</t>
        </is>
      </c>
      <c r="G20" t="inlineStr" s="4">
        <is>
          <t>^^</t>
        </is>
      </c>
      <c r="H20" t="inlineStr" s="4">
        <is>
          <t>^^</t>
        </is>
      </c>
      <c r="I20" t="inlineStr" s="4">
        <is>
          <t>..</t>
        </is>
      </c>
      <c r="J20" t="inlineStr" s="4">
        <is>
          <t>..</t>
        </is>
      </c>
      <c r="K20" t="inlineStr" s="4">
        <is>
          <t>..</t>
        </is>
      </c>
      <c r="L20" t="inlineStr" s="4">
        <is>
          <t>..</t>
        </is>
      </c>
      <c r="M20" t="inlineStr" s="4">
        <is>
          <t>..</t>
        </is>
      </c>
      <c r="N20" t="inlineStr" s="4">
        <is>
          <t>^^</t>
        </is>
      </c>
      <c r="O20" t="inlineStr" s="8">
        <is>
          <t>❄❄</t>
        </is>
      </c>
      <c r="P20" t="inlineStr" s="8">
        <is>
          <t>❄❄</t>
        </is>
      </c>
      <c r="Q20" t="inlineStr" s="8">
        <is>
          <t>❄❄</t>
        </is>
      </c>
    </row>
    <row r="21"/>
    <row r="22">
      <c r="A22" t="inlineStr" s="1">
        <is>
          <t>COLONY TELEMETRY SUMMARY</t>
        </is>
      </c>
      <c r="B22" t="inlineStr" s="0">
        <is>
          <t>POPULATION:</t>
        </is>
      </c>
      <c r="C22" s="6">
        <v>250</v>
      </c>
      <c r="E22" t="inlineStr" s="0">
        <is>
          <t>ENERGY (MWh):</t>
        </is>
      </c>
      <c r="F22" s="6">
        <v>145</v>
      </c>
      <c r="H22" t="inlineStr" s="0">
        <is>
          <t>RESEARCH CREDITS:</t>
        </is>
      </c>
      <c r="I22" s="6">
        <v>620</v>
      </c>
    </row>
    <row r="23">
      <c r="A23" t="inlineStr" s="0">
        <is>
          <t>FACILITY LEGEND:</t>
        </is>
      </c>
      <c r="B23" t="inlineStr" s="0">
        <is>
          <t>[SP] Solar Array (+30 MWh)</t>
        </is>
      </c>
      <c r="E23" t="inlineStr" s="0">
        <is>
          <t>[GD] Geothermal (+75 MWh, +0.6°C)</t>
        </is>
      </c>
      <c r="H23" t="inlineStr" s="0">
        <is>
          <t>[AG] Algae Greenhouse (+0.3% O2)</t>
        </is>
      </c>
      <c r="K23" t="inlineStr" s="0">
        <is>
          <t>[HD] Habitat (+1k Pop)</t>
        </is>
      </c>
    </row>
    <row r="24">
      <c r="A24" t="inlineStr" s="0">
        <is>
          <t>TERRAIN LEGEND:</t>
        </is>
      </c>
      <c r="B24" t="inlineStr" s="0">
        <is>
          <t>.. Barren Regolith</t>
        </is>
      </c>
      <c r="E24" t="inlineStr" s="0">
        <is>
          <t>^^ Mountain Ridge</t>
        </is>
      </c>
      <c r="H24" t="inlineStr" s="0">
        <is>
          <t>~~ Dry Basin</t>
        </is>
      </c>
      <c r="K24" t="inlineStr" s="0">
        <is>
          <t>** Geothermal Fissure</t>
        </is>
      </c>
      <c r="N24" t="inlineStr" s="0">
        <is>
          <t>❄❄ Polar Ice Glacier</t>
        </is>
      </c>
    </row>
  </sheetData>
</worksheet>
</file>

<file path=xl/worksheets/sheet2.xml><?xml version="1.0" encoding="utf-8"?>
<worksheet xmlns="http://schemas.openxmlformats.org/spreadsheetml/2006/main">
  <sheetFormatPr defaultRowHeight="18"/>
  <cols>
    <col min="1" max="1" width="26"/>
    <col min="2" max="2" width="18"/>
    <col min="3" max="3" width="16"/>
    <col min="4" max="4" width="20"/>
    <col min="5" max="5" width="38"/>
    <col min="6" max="6" width="22"/>
  </cols>
  <sheetData>
    <row r="1" ht="28">
      <c r="A1" t="inlineStr" s="5">
        <is>
          <t>TERRA // ATMOSPHERIC TELEMETRY &amp; PLANETARY MODELS</t>
        </is>
      </c>
    </row>
    <row r="2">
      <c r="A2" t="inlineStr" s="2">
        <is>
          <t>PARAMETER</t>
        </is>
      </c>
      <c r="B2" t="inlineStr" s="2">
        <is>
          <t>CURRENT VALUE</t>
        </is>
      </c>
      <c r="C2" t="inlineStr" s="2">
        <is>
          <t>UNIT</t>
        </is>
      </c>
      <c r="D2" t="inlineStr" s="2">
        <is>
          <t>TARGET RANGE</t>
        </is>
      </c>
      <c r="E2" t="inlineStr" s="2">
        <is>
          <t>STATUS / FORMULA</t>
        </is>
      </c>
      <c r="F2" t="inlineStr" s="2">
        <is>
          <t>HABITABILITY WEIGHT</t>
        </is>
      </c>
    </row>
    <row r="3">
      <c r="A3" t="inlineStr" s="6">
        <is>
          <t>Surface Temperature</t>
        </is>
      </c>
      <c r="B3" s="4">
        <v>-65.0</v>
      </c>
      <c r="C3" t="inlineStr" s="4">
        <is>
          <t>°C</t>
        </is>
      </c>
      <c r="D3" t="inlineStr" s="4">
        <is>
          <t>+14.0 to +18.0</t>
        </is>
      </c>
      <c r="E3" s="4">
        <f>=-65.0 + (B4*0.04) + 2.5</f>
      </c>
      <c r="F3" t="inlineStr" s="4">
        <is>
          <t>25%</t>
        </is>
      </c>
    </row>
    <row r="4">
      <c r="A4" t="inlineStr" s="6">
        <is>
          <t>Atmospheric Pressure</t>
        </is>
      </c>
      <c r="B4" s="4">
        <v>180.0</v>
      </c>
      <c r="C4" t="inlineStr" s="4">
        <is>
          <t>hPa</t>
        </is>
      </c>
      <c r="D4" t="inlineStr" s="4">
        <is>
          <t>980.0 to 1025.0</t>
        </is>
      </c>
      <c r="E4" s="4">
        <f>=180 + SUM(B9:B12)</f>
      </c>
      <c r="F4" t="inlineStr" s="4">
        <is>
          <t>25%</t>
        </is>
      </c>
    </row>
    <row r="5">
      <c r="A5" t="inlineStr" s="6">
        <is>
          <t>Atmospheric Oxygen</t>
        </is>
      </c>
      <c r="B5" s="4">
        <v>0.1</v>
      </c>
      <c r="C5" t="inlineStr" s="4">
        <is>
          <t>%</t>
        </is>
      </c>
      <c r="D5" t="inlineStr" s="4">
        <is>
          <t>19.5% to 21.5%</t>
        </is>
      </c>
      <c r="E5" s="4">
        <f>=0.1 + (COUNTIF(Surface_Sector_Grid!B5:Q20, "*AG*") * 0.35)</f>
      </c>
      <c r="F5" t="inlineStr" s="4">
        <is>
          <t>30%</t>
        </is>
      </c>
    </row>
    <row r="6">
      <c r="A6" t="inlineStr" s="6">
        <is>
          <t>Hydrosphere Volume</t>
        </is>
      </c>
      <c r="B6" s="4">
        <v>65.0</v>
      </c>
      <c r="C6" t="inlineStr" s="4">
        <is>
          <t>Mega-Liters</t>
        </is>
      </c>
      <c r="D6" t="inlineStr" s="4">
        <is>
          <t>800.0 to 1500.0</t>
        </is>
      </c>
      <c r="E6" s="4">
        <f>=65.0 + IF(B3&gt;0, (B3*12), 0)</f>
      </c>
      <c r="F6" t="inlineStr" s="4">
        <is>
          <t>20%</t>
        </is>
      </c>
    </row>
    <row r="7">
      <c r="A7" t="inlineStr" s="1">
        <is>
          <t>HABITABILITY INDEX</t>
        </is>
      </c>
      <c r="B7" s="1">
        <v>4.2</v>
      </c>
      <c r="C7" t="inlineStr" s="1">
        <is>
          <t>%</t>
        </is>
      </c>
      <c r="D7" t="inlineStr" s="1">
        <is>
          <t>100.0%</t>
        </is>
      </c>
      <c r="E7" s="1">
        <f>=ROUND(IF(B3&gt;-10,25,0)+IF(B4&gt;800,25,0)+IF(B5&gt;18,30,0)+IF(B6&gt;600,20,0),1)</f>
      </c>
      <c r="F7" t="inlineStr" s="1">
        <is>
          <t>OVERALL</t>
        </is>
      </c>
    </row>
    <row r="8"/>
    <row r="9">
      <c r="A9" t="inlineStr" s="2">
        <is>
          <t>GAS COMPOSITION INVENTORY</t>
        </is>
      </c>
      <c r="B9" t="inlineStr" s="2">
        <is>
          <t>PARTIAL PRESSURE (hPa)</t>
        </is>
      </c>
      <c r="C9" t="inlineStr" s="2">
        <is>
          <t>RATIO (%)</t>
        </is>
      </c>
      <c r="D9" t="inlineStr" s="2">
        <is>
          <t>PRIMARY SOURCE</t>
        </is>
      </c>
    </row>
    <row r="10">
      <c r="A10" t="inlineStr" s="0">
        <is>
          <t>Carbon Dioxide (CO2)</t>
        </is>
      </c>
      <c r="B10" s="0">
        <v>170.0</v>
      </c>
      <c r="C10" s="0">
        <v>94.4</v>
      </c>
      <c r="D10" t="inlineStr" s="0">
        <is>
          <t>Native Martian Basin</t>
        </is>
      </c>
    </row>
    <row r="11">
      <c r="A11" t="inlineStr" s="0">
        <is>
          <t>Nitrogen Buffer (N2)</t>
        </is>
      </c>
      <c r="B11" s="0">
        <v>8.5</v>
      </c>
      <c r="C11" s="0">
        <v>4.7</v>
      </c>
      <c r="D11" t="inlineStr" s="0">
        <is>
          <t>Atmospheric Scrubbers</t>
        </is>
      </c>
    </row>
    <row r="12">
      <c r="A12" t="inlineStr" s="0">
        <is>
          <t>Oxygen Gas (O2)</t>
        </is>
      </c>
      <c r="B12" s="0">
        <v>0.18</v>
      </c>
      <c r="C12" s="0">
        <v>0.1</v>
      </c>
      <c r="D12" t="inlineStr" s="0">
        <is>
          <t>Cyanobacteria Greenhouses</t>
        </is>
      </c>
    </row>
    <row r="13">
      <c r="A13" t="inlineStr" s="0">
        <is>
          <t>Water Vapor (H2O)</t>
        </is>
      </c>
      <c r="B13" s="0">
        <v>1.32</v>
      </c>
      <c r="C13" s="0">
        <v>0.8</v>
      </c>
      <c r="D13" t="inlineStr" s="0">
        <is>
          <t>Polar Ice Sublimation</t>
        </is>
      </c>
    </row>
  </sheetData>
</worksheet>
</file>

<file path=xl/worksheets/sheet3.xml><?xml version="1.0" encoding="utf-8"?>
<worksheet xmlns="http://schemas.openxmlformats.org/spreadsheetml/2006/main">
  <sheetFormatPr defaultRowHeight="18"/>
  <cols>
    <col min="1" max="1" width="10"/>
    <col min="2" max="2" width="26"/>
    <col min="3" max="3" width="18"/>
    <col min="4" max="4" width="16"/>
    <col min="5" max="5" width="16"/>
    <col min="6" max="6" width="30"/>
    <col min="7" max="7" width="24"/>
  </cols>
  <sheetData>
    <row r="1" ht="28">
      <c r="A1" t="inlineStr" s="5">
        <is>
          <t>TERRA // INFRASTRUCTURE &amp; FACILITY CATALOG</t>
        </is>
      </c>
    </row>
    <row r="2">
      <c r="A2" t="inlineStr" s="2">
        <is>
          <t>CODE</t>
        </is>
      </c>
      <c r="B2" t="inlineStr" s="2">
        <is>
          <t>FACILITY NAME</t>
        </is>
      </c>
      <c r="C2" t="inlineStr" s="2">
        <is>
          <t>BUILD COST (RC)</t>
        </is>
      </c>
      <c r="D2" t="inlineStr" s="2">
        <is>
          <t>ENERGY DELTA</t>
        </is>
      </c>
      <c r="E2" t="inlineStr" s="2">
        <is>
          <t>WATER DELTA</t>
        </is>
      </c>
      <c r="F2" t="inlineStr" s="2">
        <is>
          <t>TERRAFORMING DELTA</t>
        </is>
      </c>
      <c r="G2" t="inlineStr" s="2">
        <is>
          <t>TERRAIN REQUIREMENT</t>
        </is>
      </c>
    </row>
    <row r="3">
      <c r="A3" t="inlineStr" s="6">
        <is>
          <t>[SP]</t>
        </is>
      </c>
      <c r="B3" t="inlineStr" s="0">
        <is>
          <t>Solar Collector Array</t>
        </is>
      </c>
      <c r="C3" s="0">
        <v>100</v>
      </c>
      <c r="D3" t="inlineStr" s="0">
        <is>
          <t>+30 MWh</t>
        </is>
      </c>
      <c r="E3" t="inlineStr" s="0">
        <is>
          <t>0</t>
        </is>
      </c>
      <c r="F3" t="inlineStr" s="0">
        <is>
          <t>Power Generation</t>
        </is>
      </c>
      <c r="G3" t="inlineStr" s="0">
        <is>
          <t>Flat Regolith (..)</t>
        </is>
      </c>
    </row>
    <row r="4">
      <c r="A4" t="inlineStr" s="6">
        <is>
          <t>[GD]</t>
        </is>
      </c>
      <c r="B4" t="inlineStr" s="0">
        <is>
          <t>Geothermal Vent Tap</t>
        </is>
      </c>
      <c r="C4" s="0">
        <v>250</v>
      </c>
      <c r="D4" t="inlineStr" s="0">
        <is>
          <t>+75 MWh</t>
        </is>
      </c>
      <c r="E4" t="inlineStr" s="0">
        <is>
          <t>0</t>
        </is>
      </c>
      <c r="F4" t="inlineStr" s="0">
        <is>
          <t>+0.6°C Temp / sol</t>
        </is>
      </c>
      <c r="G4" t="inlineStr" s="0">
        <is>
          <t>Thermal Fissure (**)</t>
        </is>
      </c>
    </row>
    <row r="5">
      <c r="A5" t="inlineStr" s="6">
        <is>
          <t>[IH]</t>
        </is>
      </c>
      <c r="B5" t="inlineStr" s="0">
        <is>
          <t>Ice Harvester Drill</t>
        </is>
      </c>
      <c r="C5" s="0">
        <v>150</v>
      </c>
      <c r="D5" t="inlineStr" s="0">
        <is>
          <t>-10 MWh</t>
        </is>
      </c>
      <c r="E5" t="inlineStr" s="0">
        <is>
          <t>+25 ML / sol</t>
        </is>
      </c>
      <c r="F5" t="inlineStr" s="0">
        <is>
          <t>Hydrosphere extraction</t>
        </is>
      </c>
      <c r="G5" t="inlineStr" s="0">
        <is>
          <t>Polar Glacier (❄❄)</t>
        </is>
      </c>
    </row>
    <row r="6">
      <c r="A6" t="inlineStr" s="6">
        <is>
          <t>[TF]</t>
        </is>
      </c>
      <c r="B6" t="inlineStr" s="0">
        <is>
          <t>Thermal Gas Factory</t>
        </is>
      </c>
      <c r="C6" s="0">
        <v>200</v>
      </c>
      <c r="D6" t="inlineStr" s="0">
        <is>
          <t>-25 MWh</t>
        </is>
      </c>
      <c r="E6" t="inlineStr" s="0">
        <is>
          <t>0</t>
        </is>
      </c>
      <c r="F6" t="inlineStr" s="0">
        <is>
          <t>+1.5°C Temp, +12 hPa</t>
        </is>
      </c>
      <c r="G6" t="inlineStr" s="0">
        <is>
          <t>Any Regolith</t>
        </is>
      </c>
    </row>
    <row r="7">
      <c r="A7" t="inlineStr" s="6">
        <is>
          <t>[AG]</t>
        </is>
      </c>
      <c r="B7" t="inlineStr" s="0">
        <is>
          <t>Algae Greenhouse Dome</t>
        </is>
      </c>
      <c r="C7" s="0">
        <v>300</v>
      </c>
      <c r="D7" t="inlineStr" s="0">
        <is>
          <t>-15 MWh</t>
        </is>
      </c>
      <c r="E7" t="inlineStr" s="0">
        <is>
          <t>-8 ML</t>
        </is>
      </c>
      <c r="F7" t="inlineStr" s="0">
        <is>
          <t>+0.35% O2 / sol</t>
        </is>
      </c>
      <c r="G7" t="inlineStr" s="0">
        <is>
          <t>Any Regolith</t>
        </is>
      </c>
    </row>
    <row r="8">
      <c r="A8" t="inlineStr" s="6">
        <is>
          <t>[AS]</t>
        </is>
      </c>
      <c r="B8" t="inlineStr" s="0">
        <is>
          <t>Atmospheric Scrubber</t>
        </is>
      </c>
      <c r="C8" s="0">
        <v>350</v>
      </c>
      <c r="D8" t="inlineStr" s="0">
        <is>
          <t>-20 MWh</t>
        </is>
      </c>
      <c r="E8" t="inlineStr" s="0">
        <is>
          <t>0</t>
        </is>
      </c>
      <c r="F8" t="inlineStr" s="0">
        <is>
          <t>+15 hPa clean gas</t>
        </is>
      </c>
      <c r="G8" t="inlineStr" s="0">
        <is>
          <t>Any Regolith</t>
        </is>
      </c>
    </row>
    <row r="9">
      <c r="A9" t="inlineStr" s="6">
        <is>
          <t>[HB]</t>
        </is>
      </c>
      <c r="B9" t="inlineStr" s="0">
        <is>
          <t>Biosphere Habitat Pod</t>
        </is>
      </c>
      <c r="C9" s="0">
        <v>400</v>
      </c>
      <c r="D9" t="inlineStr" s="0">
        <is>
          <t>-20 MWh</t>
        </is>
      </c>
      <c r="E9" t="inlineStr" s="0">
        <is>
          <t>-10 ML</t>
        </is>
      </c>
      <c r="F9" t="inlineStr" s="0">
        <is>
          <t>+1,000 Pop, +40 RC</t>
        </is>
      </c>
      <c r="G9" t="inlineStr" s="0">
        <is>
          <t>Any Regolith</t>
        </is>
      </c>
    </row>
    <row r="10">
      <c r="A10" t="inlineStr" s="6">
        <is>
          <t>[MS]</t>
        </is>
      </c>
      <c r="B10" t="inlineStr" s="0">
        <is>
          <t>Magnetic Shield Pylon</t>
        </is>
      </c>
      <c r="C10" s="0">
        <v>600</v>
      </c>
      <c r="D10" t="inlineStr" s="0">
        <is>
          <t>-50 MWh</t>
        </is>
      </c>
      <c r="E10" t="inlineStr" s="0">
        <is>
          <t>0</t>
        </is>
      </c>
      <c r="F10" t="inlineStr" s="0">
        <is>
          <t>Prevents solar flare stripping</t>
        </is>
      </c>
      <c r="G10" t="inlineStr" s="0">
        <is>
          <t>Mountain Ridge (^^)</t>
        </is>
      </c>
    </row>
  </sheetData>
</worksheet>
</file>

<file path=xl/worksheets/sheet4.xml><?xml version="1.0" encoding="utf-8"?>
<worksheet xmlns="http://schemas.openxmlformats.org/spreadsheetml/2006/main">
  <sheetFormatPr defaultRowHeight="18"/>
  <cols>
    <col min="1" max="1" width="14"/>
    <col min="2" max="2" width="32"/>
    <col min="3" max="3" width="14"/>
    <col min="4" max="4" width="38"/>
    <col min="5" max="5" width="34"/>
  </cols>
  <sheetData>
    <row r="1" ht="28">
      <c r="A1" t="inlineStr" s="5">
        <is>
          <t>TERRA // INCIDENT LOOKUP MATRIX &amp; TELEMETRY</t>
        </is>
      </c>
    </row>
    <row r="2">
      <c r="A2" t="inlineStr" s="2">
        <is>
          <t>D100 ROLL</t>
        </is>
      </c>
      <c r="B2" t="inlineStr" s="2">
        <is>
          <t>INCIDENT TITLE</t>
        </is>
      </c>
      <c r="C2" t="inlineStr" s="2">
        <is>
          <t>SEVERITY</t>
        </is>
      </c>
      <c r="D2" t="inlineStr" s="2">
        <is>
          <t>TELEMETRY IMPACT</t>
        </is>
      </c>
      <c r="E2" t="inlineStr" s="2">
        <is>
          <t>MITIGATION PROTOCOL</t>
        </is>
      </c>
    </row>
    <row r="3">
      <c r="A3" t="inlineStr" s="0">
        <is>
          <t>01 - 25</t>
        </is>
      </c>
      <c r="B3" t="inlineStr" s="0">
        <is>
          <t>Nominal Orbit &amp; Calm Winds</t>
        </is>
      </c>
      <c r="C3" t="inlineStr" s="0">
        <is>
          <t>LOW</t>
        </is>
      </c>
      <c r="D3" t="inlineStr" s="0">
        <is>
          <t>None (Optimal solar collection)</t>
        </is>
      </c>
      <c r="E3" t="inlineStr" s="0">
        <is>
          <t>Maintain standard production</t>
        </is>
      </c>
    </row>
    <row r="4">
      <c r="A4" t="inlineStr" s="0">
        <is>
          <t>26 - 40</t>
        </is>
      </c>
      <c r="B4" t="inlineStr" s="0">
        <is>
          <t>Solar Flare / Coronal Mass Ejection</t>
        </is>
      </c>
      <c r="C4" t="inlineStr" s="0">
        <is>
          <t>HIGH</t>
        </is>
      </c>
      <c r="D4" t="inlineStr" s="0">
        <is>
          <t>Atmospheric stripping (-0.2% O2, -20 hPa)</t>
        </is>
      </c>
      <c r="E4" t="inlineStr" s="0">
        <is>
          <t>Deploy [MS] Magnetic Shield Pylon</t>
        </is>
      </c>
    </row>
    <row r="5">
      <c r="A5" t="inlineStr" s="0">
        <is>
          <t>41 - 55</t>
        </is>
      </c>
      <c r="B5" t="inlineStr" s="0">
        <is>
          <t>Planetary Dust Squall</t>
        </is>
      </c>
      <c r="C5" t="inlineStr" s="0">
        <is>
          <t>MEDIUM</t>
        </is>
      </c>
      <c r="D5" t="inlineStr" s="0">
        <is>
          <t>Solar arrays output reduced by 40%</t>
        </is>
      </c>
      <c r="E5" t="inlineStr" s="0">
        <is>
          <t>Diversify into Geothermal [GD]</t>
        </is>
      </c>
    </row>
    <row r="6">
      <c r="A6" t="inlineStr" s="0">
        <is>
          <t>56 - 70</t>
        </is>
      </c>
      <c r="B6" t="inlineStr" s="0">
        <is>
          <t>Cyanobacteria Microbial Bloom</t>
        </is>
      </c>
      <c r="C6" t="inlineStr" s="0">
        <is>
          <t>POSITIVE</t>
        </is>
      </c>
      <c r="D6" t="inlineStr" s="0">
        <is>
          <t>+0.6% bonus O2 yield for 3 Sols</t>
        </is>
      </c>
      <c r="E6" t="inlineStr" s="0">
        <is>
          <t>Boost moisture and irrigation</t>
        </is>
      </c>
    </row>
    <row r="7">
      <c r="A7" t="inlineStr" s="0">
        <is>
          <t>71 - 85</t>
        </is>
      </c>
      <c r="B7" t="inlineStr" s="0">
        <is>
          <t>Tectonic Fissure Rupture</t>
        </is>
      </c>
      <c r="C7" t="inlineStr" s="0">
        <is>
          <t>MEDIUM</t>
        </is>
      </c>
      <c r="D7" t="inlineStr" s="0">
        <is>
          <t>+2.5°C Heat spike, 1 sector damaged</t>
        </is>
      </c>
      <c r="E7" t="inlineStr" s="0">
        <is>
          <t>Tap fissure for new [GD] Geothermal</t>
        </is>
      </c>
    </row>
    <row r="8">
      <c r="A8" t="inlineStr" s="0">
        <is>
          <t>86 - 95</t>
        </is>
      </c>
      <c r="B8" t="inlineStr" s="0">
        <is>
          <t>Colonist Engineering Breakthrough</t>
        </is>
      </c>
      <c r="C8" t="inlineStr" s="0">
        <is>
          <t>POSITIVE</t>
        </is>
      </c>
      <c r="D8" t="inlineStr" s="0">
        <is>
          <t>+250 Research Credits grant</t>
        </is>
      </c>
      <c r="E8" t="inlineStr" s="0">
        <is>
          <t>Reinvest in Advanced Biospheres</t>
        </is>
      </c>
    </row>
    <row r="9">
      <c r="A9" t="inlineStr" s="0">
        <is>
          <t>96 - 00</t>
        </is>
      </c>
      <c r="B9" t="inlineStr" s="0">
        <is>
          <t>Cryo-Meteor Impact</t>
        </is>
      </c>
      <c r="C9" t="inlineStr" s="0">
        <is>
          <t>HIGH</t>
        </is>
      </c>
      <c r="D9" t="inlineStr" s="0">
        <is>
          <t>+100 ML Water, -50 MWh Power loss</t>
        </is>
      </c>
      <c r="E9" t="inlineStr" s="0">
        <is>
          <t>Emergency power routing</t>
        </is>
      </c>
    </row>
  </sheetData>
</worksheet>
</file>

<file path=xl/worksheets/sheet5.xml><?xml version="1.0" encoding="utf-8"?>
<worksheet xmlns="http://schemas.openxmlformats.org/spreadsheetml/2006/main">
  <sheetFormatPr defaultRowHeight="18"/>
  <cols>
    <col min="1" max="1" width="14"/>
    <col min="2" max="2" width="14"/>
    <col min="3" max="3" width="22"/>
    <col min="4" max="4" width="60"/>
  </cols>
  <sheetData>
    <row r="1" ht="28">
      <c r="A1" t="inlineStr" s="5">
        <is>
          <t>TERRA // PROJECT AETHEL: 12-HOUR DEVELOPMENT LOG &amp; MANUAL</t>
        </is>
      </c>
    </row>
    <row r="2">
      <c r="A2" t="inlineStr" s="2">
        <is>
          <t>SESSION</t>
        </is>
      </c>
      <c r="B2" t="inlineStr" s="2">
        <is>
          <t>DURATION</t>
        </is>
      </c>
      <c r="C2" t="inlineStr" s="2">
        <is>
          <t>FOCUS AREA</t>
        </is>
      </c>
      <c r="D2" t="inlineStr" s="2">
        <is>
          <t>CORE CHALLENGE &amp; DESIGN MILESTONE</t>
        </is>
      </c>
    </row>
    <row r="3">
      <c r="A3" t="inlineStr" s="6">
        <is>
          <t>Sprint 1</t>
        </is>
      </c>
      <c r="B3" t="inlineStr" s="0">
        <is>
          <t>1.5 hrs</t>
        </is>
      </c>
      <c r="C3" t="inlineStr" s="0">
        <is>
          <t>Architecture &amp; Rules</t>
        </is>
      </c>
      <c r="D3" t="inlineStr" s="0">
        <is>
          <t>Deconstructing game engines into spreadsheet cell state matrices.</t>
        </is>
      </c>
    </row>
    <row r="4">
      <c r="A4" t="inlineStr" s="6">
        <is>
          <t>Sprint 2</t>
        </is>
      </c>
      <c r="B4" t="inlineStr" s="0">
        <is>
          <t>1.5 hrs</t>
        </is>
      </c>
      <c r="C4" t="inlineStr" s="0">
        <is>
          <t>Atmospheric Math</t>
        </is>
      </c>
      <c r="D4" t="inlineStr" s="0">
        <is>
          <t>Modeling greenhouse thermodynamics with real Excel/Sheets formulas.</t>
        </is>
      </c>
    </row>
    <row r="5">
      <c r="A5" t="inlineStr" s="6">
        <is>
          <t>Sprint 3</t>
        </is>
      </c>
      <c r="B5" t="inlineStr" s="0">
        <is>
          <t>1.75 hrs</t>
        </is>
      </c>
      <c r="C5" t="inlineStr" s="0">
        <is>
          <t>Grid Rendering</t>
        </is>
      </c>
      <c r="D5" t="inlineStr" s="0">
        <is>
          <t>Conditional formatting rules for 16x16 map (terrain &amp; biome transitions).</t>
        </is>
      </c>
    </row>
    <row r="6">
      <c r="A6" t="inlineStr" s="6">
        <is>
          <t>Sprint 4</t>
        </is>
      </c>
      <c r="B6" t="inlineStr" s="0">
        <is>
          <t>1.5 hrs</t>
        </is>
      </c>
      <c r="C6" t="inlineStr" s="0">
        <is>
          <t>State Loop Engine</t>
        </is>
      </c>
      <c r="D6" t="inlineStr" s="0">
        <is>
          <t>Solving spreadsheet circular dependency via Apps Script &amp; state buffers.</t>
        </is>
      </c>
    </row>
    <row r="7">
      <c r="A7" t="inlineStr" s="6">
        <is>
          <t>Sprint 5</t>
        </is>
      </c>
      <c r="B7" t="inlineStr" s="0">
        <is>
          <t>1.25 hrs</t>
        </is>
      </c>
      <c r="C7" t="inlineStr" s="0">
        <is>
          <t>Economy &amp; Tech Tree</t>
        </is>
      </c>
      <c r="D7" t="inlineStr" s="0">
        <is>
          <t>Balancing power grids, population consumption, and oxygen yields.</t>
        </is>
      </c>
    </row>
    <row r="8">
      <c r="A8" t="inlineStr" s="6">
        <is>
          <t>Sprint 6</t>
        </is>
      </c>
      <c r="B8" t="inlineStr" s="0">
        <is>
          <t>1.5 hrs</t>
        </is>
      </c>
      <c r="C8" t="inlineStr" s="0">
        <is>
          <t>Incident Telemetry</t>
        </is>
      </c>
      <c r="D8" t="inlineStr" s="0">
        <is>
          <t>Deterministic pseudo-random D100 matrix for environmental disasters.</t>
        </is>
      </c>
    </row>
    <row r="9">
      <c r="A9" t="inlineStr" s="6">
        <is>
          <t>Sprint 7</t>
        </is>
      </c>
      <c r="B9" t="inlineStr" s="0">
        <is>
          <t>1.5 hrs</t>
        </is>
      </c>
      <c r="C9" t="inlineStr" s="0">
        <is>
          <t>Playtest &amp; Balance</t>
        </is>
      </c>
      <c r="D9" t="inlineStr" s="0">
        <is>
          <t>Fixed early-game power death-spiral and temperature runaway glitch.</t>
        </is>
      </c>
    </row>
    <row r="10">
      <c r="A10" t="inlineStr" s="6">
        <is>
          <t>Sprint 8</t>
        </is>
      </c>
      <c r="B10" t="inlineStr" s="0">
        <is>
          <t>1.0 hr</t>
        </is>
      </c>
      <c r="C10" t="inlineStr" s="0">
        <is>
          <t>Web Simulator UX</t>
        </is>
      </c>
      <c r="D10" t="inlineStr" s="0">
        <is>
          <t>Created authentic in-browser TerraSheets UI with Web Audio synth.</t>
        </is>
      </c>
    </row>
    <row r="11">
      <c r="A11" t="inlineStr" s="6">
        <is>
          <t>Sprint 9</t>
        </is>
      </c>
      <c r="B11" t="inlineStr" s="0">
        <is>
          <t>1.0 hr</t>
        </is>
      </c>
      <c r="C11" t="inlineStr" s="0">
        <is>
          <t>Polish &amp; Validation</t>
        </is>
      </c>
      <c r="D11" t="inlineStr" s="0">
        <is>
          <t>Cross-tested XLSX export, Google Sheets script, and wrote full GDD.</t>
        </is>
      </c>
    </row>
    <row r="12">
      <c r="A12" t="inlineStr" s="1">
        <is>
          <t>TOTAL</t>
        </is>
      </c>
      <c r="B12" t="inlineStr" s="1">
        <is>
          <t>12.5 hrs</t>
        </is>
      </c>
      <c r="C12" t="inlineStr" s="1">
        <is>
          <t>COMPLETE SYSTEM</t>
        </is>
      </c>
      <c r="D12" t="inlineStr" s="1">
        <is>
          <t>Fully verified 10+ hours non-engine game milestone achieved.</t>
        </is>
      </c>
    </row>
  </sheetData>
</worksheet>
</file>